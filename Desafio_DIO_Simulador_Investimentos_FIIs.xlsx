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3e0e1f6c4849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dor" sheetId="1" r:id="Rde70bf0fe5e544c6"/>
    <x:sheet xmlns:r="http://schemas.openxmlformats.org/officeDocument/2006/relationships" name="Perfis" sheetId="2" r:id="R7cc45a709ff64e57"/>
    <x:sheet xmlns:r="http://schemas.openxmlformats.org/officeDocument/2006/relationships" name="Instruções" sheetId="3" r:id="R60bdbe5ad0804c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R$ #,##0.00"/>
    <x:numFmt numFmtId="201" formatCode="0.00%"/>
    <x:numFmt numFmtId="202" formatCode="0"/>
    <x:numFmt numFmtId="203" formatCode="0 &quot;anos&quot;"/>
    <x:numFmt numFmtId="204" formatCode="0%"/>
  </x:numFmts>
  <x:fonts count="14">
    <x:font>
      <x:sz val="11"/>
      <x:name val="Carlito"/>
    </x:font>
    <x:font>
      <x:b/>
      <x:sz val="20"/>
      <x:color rgb="FFFFFFFF"/>
      <x:name val="Carlito"/>
    </x:font>
    <x:font>
      <x:i/>
      <x:sz val="10"/>
      <x:color rgb="FF475569"/>
      <x:name val="Carlito"/>
    </x:font>
    <x:font>
      <x:b/>
      <x:sz val="12"/>
      <x:color rgb="FF0F172A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  <x:font>
      <x:i/>
      <x:sz val="9"/>
      <x:color rgb="FF64748B"/>
      <x:name val="Carlito"/>
    </x:font>
    <x:font>
      <x:sz val="10"/>
      <x:color rgb="FF0F172A"/>
      <x:name val="Carlito"/>
    </x:font>
    <x:font>
      <x:b/>
      <x:sz val="11"/>
      <x:color rgb="FF0F172A"/>
      <x:name val="Carlito"/>
    </x:font>
    <x:font>
      <x:b/>
      <x:sz val="11"/>
      <x:color rgb="FF115E59"/>
      <x:name val="Carlito"/>
    </x:font>
    <x:font>
      <x:b/>
      <x:sz val="14"/>
      <x:color rgb="FFFFFFFF"/>
      <x:name val="Carlito"/>
    </x:font>
    <x:font>
      <x:b/>
      <x:sz val="18"/>
      <x:color rgb="FFFFFFFF"/>
      <x:name val="Carlito"/>
    </x:font>
    <x:font>
      <x:sz val="11"/>
      <x:color rgb="FF0F172A"/>
      <x:name val="Carlito"/>
    </x:font>
    <x:font>
      <x:i/>
      <x:sz val="11"/>
      <x:color rgb="FF475569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1F5F9"/>
      </x:patternFill>
    </x:fill>
    <x:fill>
      <x:patternFill patternType="solid">
        <x:fgColor rgb="FFF59E0B"/>
      </x:patternFill>
    </x:fill>
    <x:fill>
      <x:patternFill patternType="solid">
        <x:fgColor rgb="FF0F766E"/>
      </x:patternFill>
    </x:fill>
    <x:fill>
      <x:patternFill patternType="solid">
        <x:fgColor rgb="FF115E59"/>
      </x:patternFill>
    </x:fill>
    <x:fill>
      <x:patternFill patternType="solid">
        <x:fgColor rgb="FFFFFFFF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CBD5E1"/>
      </x:patternFill>
    </x:fill>
    <x:fill>
      <x:patternFill patternType="solid">
        <x:fgColor rgb="FFE2E8F0"/>
      </x:patternFill>
    </x:fill>
    <x:fill>
      <x:patternFill patternType="solid">
        <x:fgColor rgb="FFE0F2FE"/>
      </x:patternFill>
    </x:fill>
  </x:fills>
  <x:borders count="2">
    <x:border/>
    <x:border/>
  </x:borders>
  <x:cellStyleXfs count="1">
    <x:xf numFmtId="0" fontId="0" fillId="0" borderId="0"/>
  </x:cellStyleXfs>
  <x:cellXfs count="2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left" wrapText="1"/>
    </x:xf>
    <x:xf numFmtId="0" fontId="6" fillId="3" borderId="0" xfId="0" applyNumberFormat="1" applyFont="1" applyFill="1" applyBorder="1" applyAlignment="1">
      <x:alignment horizontal="left" vertical="center"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horizontal="left" wrapText="1"/>
    </x:xf>
    <x:xf numFmtId="0" fontId="6" fillId="3" borderId="1" xfId="0" applyNumberFormat="1" applyFont="1" applyFill="1" applyBorder="1" applyAlignment="1">
      <x:alignment horizontal="left" vertical="center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horizontal="center"/>
    </x:xf>
    <x:xf numFmtId="0" fontId="8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8" fillId="8" borderId="1" xfId="0" applyNumberFormat="1" applyFont="1" applyFill="1" applyBorder="1"/>
    <x:xf numFmtId="0" fontId="8" fillId="8" borderId="1" xfId="0" applyNumberFormat="1" applyFont="1" applyFill="1" applyBorder="1" applyAlignment="1">
      <x:alignment horizontal="center"/>
    </x:xf>
    <x:xf numFmtId="0" fontId="8" fillId="8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horizontal="right"/>
    </x:xf>
    <x:xf numFmtId="0" fontId="9" fillId="9" borderId="0" xfId="0" applyNumberFormat="1" applyFont="1" applyFill="1" applyBorder="1" applyAlignment="1">
      <x:alignment horizontal="right" vertical="center"/>
    </x:xf>
    <x:xf numFmtId="0" fontId="0" fillId="9" borderId="1" xfId="0" applyNumberFormat="1" applyFont="1" applyFill="1" applyBorder="1"/>
    <x:xf numFmtId="0" fontId="9" fillId="9" borderId="1" xfId="0" applyNumberFormat="1" applyFont="1" applyFill="1" applyBorder="1"/>
    <x:xf numFmtId="0" fontId="9" fillId="9" borderId="1" xfId="0" applyNumberFormat="1" applyFont="1" applyFill="1" applyBorder="1" applyAlignment="1">
      <x:alignment horizontal="right"/>
    </x:xf>
    <x:xf numFmtId="0" fontId="9" fillId="9" borderId="1" xfId="0" applyNumberFormat="1" applyFont="1" applyFill="1" applyBorder="1" applyAlignment="1">
      <x:alignment horizontal="right" vertical="center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horizontal="center"/>
    </x:xf>
    <x:xf numFmtId="0" fontId="8" fillId="10" borderId="0" xfId="0" applyNumberFormat="1" applyFont="1" applyFill="1" applyBorder="1" applyAlignment="1">
      <x:alignment horizontal="center" vertical="center"/>
    </x:xf>
    <x:xf numFmtId="0" fontId="0" fillId="10" borderId="1" xfId="0" applyNumberFormat="1" applyFont="1" applyFill="1" applyBorder="1"/>
    <x:xf numFmtId="0" fontId="8" fillId="10" borderId="1" xfId="0" applyNumberFormat="1" applyFont="1" applyFill="1" applyBorder="1"/>
    <x:xf numFmtId="0" fontId="8" fillId="10" borderId="1" xfId="0" applyNumberFormat="1" applyFont="1" applyFill="1" applyBorder="1" applyAlignment="1">
      <x:alignment horizontal="center"/>
    </x:xf>
    <x:xf numFmtId="0" fontId="8" fillId="10" borderId="1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0" fillId="11" borderId="1" xfId="0" applyNumberFormat="1" applyFont="1" applyFill="1" applyBorder="1"/>
    <x:xf numFmtId="0" fontId="8" fillId="11" borderId="1" xfId="0" applyNumberFormat="1" applyFont="1" applyFill="1" applyBorder="1"/>
    <x:xf numFmtId="0" fontId="0" fillId="12" borderId="0" xfId="0" applyNumberFormat="1" applyFont="1" applyFill="1" applyBorder="1"/>
    <x:xf numFmtId="0" fontId="8" fillId="12" borderId="0" xfId="0" applyNumberFormat="1" applyFont="1" applyFill="1" applyBorder="1"/>
    <x:xf numFmtId="0" fontId="8" fillId="12" borderId="0" xfId="0" applyNumberFormat="1" applyFont="1" applyFill="1" applyBorder="1" applyAlignment="1">
      <x:alignment vertical="center"/>
    </x:xf>
    <x:xf numFmtId="0" fontId="0" fillId="12" borderId="1" xfId="0" applyNumberFormat="1" applyFont="1" applyFill="1" applyBorder="1"/>
    <x:xf numFmtId="0" fontId="8" fillId="12" borderId="1" xfId="0" applyNumberFormat="1" applyFont="1" applyFill="1" applyBorder="1"/>
    <x:xf numFmtId="0" fontId="8" fillId="12" borderId="1" xfId="0" applyNumberFormat="1" applyFont="1" applyFill="1" applyBorder="1" applyAlignment="1">
      <x:alignment vertical="center"/>
    </x:xf>
    <x:xf numFmtId="200" fontId="8" fillId="8" borderId="0" xfId="0" applyNumberFormat="1" applyFont="1" applyFill="1" applyBorder="1" applyAlignment="1">
      <x:alignment horizontal="center" vertical="center"/>
    </x:xf>
    <x:xf numFmtId="200" fontId="8" fillId="8" borderId="1" xfId="0" applyNumberFormat="1" applyFont="1" applyFill="1" applyBorder="1" applyAlignment="1">
      <x:alignment horizontal="center" vertical="center"/>
    </x:xf>
    <x:xf numFmtId="200" fontId="9" fillId="9" borderId="0" xfId="0" applyNumberFormat="1" applyFont="1" applyFill="1" applyBorder="1" applyAlignment="1">
      <x:alignment horizontal="right" vertical="center"/>
    </x:xf>
    <x:xf numFmtId="200" fontId="9" fillId="9" borderId="1" xfId="0" applyNumberFormat="1" applyFont="1" applyFill="1" applyBorder="1" applyAlignment="1">
      <x:alignment horizontal="right" vertical="center"/>
    </x:xf>
    <x:xf numFmtId="200" fontId="0" fillId="7" borderId="0" xfId="0" applyNumberFormat="1" applyFont="1" applyFill="1" applyBorder="1"/>
    <x:xf numFmtId="200" fontId="0" fillId="7" borderId="1" xfId="0" applyNumberFormat="1" applyFont="1" applyFill="1" applyBorder="1"/>
    <x:xf numFmtId="200" fontId="8" fillId="11" borderId="0" xfId="0" applyNumberFormat="1" applyFont="1" applyFill="1" applyBorder="1"/>
    <x:xf numFmtId="200" fontId="8" fillId="11" borderId="1" xfId="0" applyNumberFormat="1" applyFont="1" applyFill="1" applyBorder="1"/>
    <x:xf numFmtId="201" fontId="8" fillId="8" borderId="0" xfId="0" applyNumberFormat="1" applyFont="1" applyFill="1" applyBorder="1" applyAlignment="1">
      <x:alignment horizontal="center" vertical="center"/>
    </x:xf>
    <x:xf numFmtId="201" fontId="8" fillId="8" borderId="1" xfId="0" applyNumberFormat="1" applyFont="1" applyFill="1" applyBorder="1" applyAlignment="1">
      <x:alignment horizontal="center" vertical="center"/>
    </x:xf>
    <x:xf numFmtId="201" fontId="0" fillId="7" borderId="0" xfId="0" applyNumberFormat="1" applyFont="1" applyFill="1" applyBorder="1"/>
    <x:xf numFmtId="201" fontId="8" fillId="11" borderId="0" xfId="0" applyNumberFormat="1" applyFont="1" applyFill="1" applyBorder="1"/>
    <x:xf numFmtId="201" fontId="0" fillId="7" borderId="1" xfId="0" applyNumberFormat="1" applyFont="1" applyFill="1" applyBorder="1"/>
    <x:xf numFmtId="201" fontId="8" fillId="11" borderId="1" xfId="0" applyNumberFormat="1" applyFont="1" applyFill="1" applyBorder="1"/>
    <x:xf numFmtId="202" fontId="8" fillId="8" borderId="0" xfId="0" applyNumberFormat="1" applyFont="1" applyFill="1" applyBorder="1" applyAlignment="1">
      <x:alignment horizontal="center" vertical="center"/>
    </x:xf>
    <x:xf numFmtId="202" fontId="8" fillId="8" borderId="1" xfId="0" applyNumberFormat="1" applyFont="1" applyFill="1" applyBorder="1" applyAlignment="1">
      <x:alignment horizontal="center" vertical="center"/>
    </x:xf>
    <x:xf numFmtId="203" fontId="0" fillId="7" borderId="0" xfId="0" applyNumberFormat="1" applyFont="1" applyFill="1" applyBorder="1"/>
    <x:xf numFmtId="203" fontId="0" fillId="7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2" fillId="3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3" fillId="4" borderId="0" xfId="0" applyNumberFormat="1" applyFont="1" applyFill="1" applyBorder="1" applyAlignment="1">
      <x:alignment horizontal="center" vertical="center" wrapText="0"/>
    </x:xf>
    <x:xf numFmtId="0" fontId="7" fillId="7" borderId="0" xfId="0" applyNumberFormat="1" applyFont="1" applyFill="1" applyBorder="1" applyAlignment="1">
      <x:alignment wrapText="0"/>
    </x:xf>
    <x:xf numFmtId="200" fontId="8" fillId="8" borderId="0" xfId="0" applyNumberFormat="1" applyFont="1" applyFill="1" applyBorder="1" applyAlignment="1">
      <x:alignment horizontal="center" vertical="center" wrapText="0"/>
    </x:xf>
    <x:xf numFmtId="201" fontId="8" fillId="8" borderId="0" xfId="0" applyNumberFormat="1" applyFont="1" applyFill="1" applyBorder="1" applyAlignment="1">
      <x:alignment horizontal="center" vertical="center" wrapText="0"/>
    </x:xf>
    <x:xf numFmtId="200" fontId="9" fillId="9" borderId="0" xfId="0" applyNumberFormat="1" applyFont="1" applyFill="1" applyBorder="1" applyAlignment="1">
      <x:alignment horizontal="right" vertical="center" wrapText="0"/>
    </x:xf>
    <x:xf numFmtId="0" fontId="4" fillId="5" borderId="0" xfId="0" applyNumberFormat="1" applyFont="1" applyFill="1" applyBorder="1" applyAlignment="1">
      <x:alignment horizontal="center" vertical="center" wrapText="0"/>
    </x:xf>
    <x:xf numFmtId="202" fontId="8" fillId="8" borderId="0" xfId="0" applyNumberFormat="1" applyFont="1" applyFill="1" applyBorder="1" applyAlignment="1">
      <x:alignment horizontal="center" vertical="center" wrapText="0"/>
    </x:xf>
    <x:xf numFmtId="0" fontId="5" fillId="6" borderId="0" xfId="0" applyNumberFormat="1" applyFont="1" applyFill="1" applyBorder="1" applyAlignment="1">
      <x:alignment horizontal="center" wrapText="0"/>
    </x:xf>
    <x:xf numFmtId="0" fontId="8" fillId="10" borderId="0" xfId="0" applyNumberFormat="1" applyFont="1" applyFill="1" applyBorder="1" applyAlignment="1">
      <x:alignment horizontal="center" vertical="center" wrapText="0"/>
    </x:xf>
    <x:xf numFmtId="203" fontId="0" fillId="7" borderId="0" xfId="0" applyNumberFormat="1" applyFont="1" applyFill="1" applyBorder="1" applyAlignment="1">
      <x:alignment wrapText="0"/>
    </x:xf>
    <x:xf numFmtId="200" fontId="0" fillId="7" borderId="0" xfId="0" applyNumberFormat="1" applyFont="1" applyFill="1" applyBorder="1" applyAlignment="1">
      <x:alignment wrapText="0"/>
    </x:xf>
    <x:xf numFmtId="0" fontId="5" fillId="2" borderId="0" xfId="0" applyNumberFormat="1" applyFont="1" applyFill="1" applyBorder="1" applyAlignment="1">
      <x:alignment horizontal="center" wrapText="0"/>
    </x:xf>
    <x:xf numFmtId="0" fontId="8" fillId="12" borderId="0" xfId="0" applyNumberFormat="1" applyFont="1" applyFill="1" applyBorder="1" applyAlignment="1">
      <x:alignment vertical="center" wrapText="0"/>
    </x:xf>
    <x:xf numFmtId="0" fontId="8" fillId="8" borderId="0" xfId="0" applyNumberFormat="1" applyFont="1" applyFill="1" applyBorder="1" applyAlignment="1">
      <x:alignment horizontal="center" vertical="center" wrapText="0"/>
    </x:xf>
    <x:xf numFmtId="0" fontId="0" fillId="7" borderId="0" xfId="0" applyNumberFormat="1" applyFont="1" applyFill="1" applyBorder="1" applyAlignment="1">
      <x:alignment wrapText="0"/>
    </x:xf>
    <x:xf numFmtId="201" fontId="0" fillId="7" borderId="0" xfId="0" applyNumberFormat="1" applyFont="1" applyFill="1" applyBorder="1" applyAlignment="1">
      <x:alignment wrapText="0"/>
    </x:xf>
    <x:xf numFmtId="0" fontId="8" fillId="11" borderId="0" xfId="0" applyNumberFormat="1" applyFont="1" applyFill="1" applyBorder="1" applyAlignment="1">
      <x:alignment wrapText="0"/>
    </x:xf>
    <x:xf numFmtId="201" fontId="8" fillId="11" borderId="0" xfId="0" applyNumberFormat="1" applyFont="1" applyFill="1" applyBorder="1" applyAlignment="1">
      <x:alignment wrapText="0"/>
    </x:xf>
    <x:xf numFmtId="200" fontId="8" fillId="11" borderId="0" xfId="0" applyNumberFormat="1" applyFont="1" applyFill="1" applyBorder="1" applyAlignment="1">
      <x:alignment wrapText="0"/>
    </x:xf>
    <x:xf numFmtId="0" fontId="6" fillId="3" borderId="0" xfId="0" applyNumberFormat="1" applyFont="1" applyFill="1" applyBorder="1" applyAlignment="1">
      <x:alignment horizontal="left" vertic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2" fillId="3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0" fontId="3" fillId="4" borderId="1" xfId="0" applyNumberFormat="1" applyFont="1" applyFill="1" applyBorder="1" applyAlignment="1">
      <x:alignment horizontal="center" vertical="center" wrapText="0"/>
    </x:xf>
    <x:xf numFmtId="0" fontId="7" fillId="7" borderId="1" xfId="0" applyNumberFormat="1" applyFont="1" applyFill="1" applyBorder="1" applyAlignment="1">
      <x:alignment wrapText="0"/>
    </x:xf>
    <x:xf numFmtId="200" fontId="8" fillId="8" borderId="1" xfId="0" applyNumberFormat="1" applyFont="1" applyFill="1" applyBorder="1" applyAlignment="1">
      <x:alignment horizontal="center" vertical="center" wrapText="0"/>
    </x:xf>
    <x:xf numFmtId="201" fontId="8" fillId="8" borderId="1" xfId="0" applyNumberFormat="1" applyFont="1" applyFill="1" applyBorder="1" applyAlignment="1">
      <x:alignment horizontal="center" vertical="center" wrapText="0"/>
    </x:xf>
    <x:xf numFmtId="200" fontId="9" fillId="9" borderId="1" xfId="0" applyNumberFormat="1" applyFont="1" applyFill="1" applyBorder="1" applyAlignment="1">
      <x:alignment horizontal="right" vertical="center" wrapText="0"/>
    </x:xf>
    <x:xf numFmtId="0" fontId="4" fillId="5" borderId="1" xfId="0" applyNumberFormat="1" applyFont="1" applyFill="1" applyBorder="1" applyAlignment="1">
      <x:alignment horizontal="center" vertical="center" wrapText="0"/>
    </x:xf>
    <x:xf numFmtId="202" fontId="8" fillId="8" borderId="1" xfId="0" applyNumberFormat="1" applyFont="1" applyFill="1" applyBorder="1" applyAlignment="1">
      <x:alignment horizontal="center" vertical="center" wrapText="0"/>
    </x:xf>
    <x:xf numFmtId="0" fontId="5" fillId="6" borderId="1" xfId="0" applyNumberFormat="1" applyFont="1" applyFill="1" applyBorder="1" applyAlignment="1">
      <x:alignment horizontal="center" wrapText="0"/>
    </x:xf>
    <x:xf numFmtId="0" fontId="8" fillId="10" borderId="1" xfId="0" applyNumberFormat="1" applyFont="1" applyFill="1" applyBorder="1" applyAlignment="1">
      <x:alignment horizontal="center" vertical="center" wrapText="0"/>
    </x:xf>
    <x:xf numFmtId="203" fontId="0" fillId="7" borderId="1" xfId="0" applyNumberFormat="1" applyFont="1" applyFill="1" applyBorder="1" applyAlignment="1">
      <x:alignment wrapText="0"/>
    </x:xf>
    <x:xf numFmtId="200" fontId="0" fillId="7" borderId="1" xfId="0" applyNumberFormat="1" applyFont="1" applyFill="1" applyBorder="1" applyAlignment="1">
      <x:alignment wrapText="0"/>
    </x:xf>
    <x:xf numFmtId="0" fontId="5" fillId="2" borderId="1" xfId="0" applyNumberFormat="1" applyFont="1" applyFill="1" applyBorder="1" applyAlignment="1">
      <x:alignment horizontal="center" wrapText="0"/>
    </x:xf>
    <x:xf numFmtId="0" fontId="8" fillId="12" borderId="1" xfId="0" applyNumberFormat="1" applyFont="1" applyFill="1" applyBorder="1" applyAlignment="1">
      <x:alignment vertical="center" wrapText="0"/>
    </x:xf>
    <x:xf numFmtId="0" fontId="8" fillId="8" borderId="1" xfId="0" applyNumberFormat="1" applyFont="1" applyFill="1" applyBorder="1" applyAlignment="1">
      <x:alignment horizontal="center" vertical="center" wrapText="0"/>
    </x:xf>
    <x:xf numFmtId="0" fontId="0" fillId="7" borderId="1" xfId="0" applyNumberFormat="1" applyFont="1" applyFill="1" applyBorder="1" applyAlignment="1">
      <x:alignment wrapText="0"/>
    </x:xf>
    <x:xf numFmtId="201" fontId="0" fillId="7" borderId="1" xfId="0" applyNumberFormat="1" applyFont="1" applyFill="1" applyBorder="1" applyAlignment="1">
      <x:alignment wrapText="0"/>
    </x:xf>
    <x:xf numFmtId="0" fontId="8" fillId="11" borderId="1" xfId="0" applyNumberFormat="1" applyFont="1" applyFill="1" applyBorder="1" applyAlignment="1">
      <x:alignment wrapText="0"/>
    </x:xf>
    <x:xf numFmtId="201" fontId="8" fillId="11" borderId="1" xfId="0" applyNumberFormat="1" applyFont="1" applyFill="1" applyBorder="1" applyAlignment="1">
      <x:alignment wrapText="0"/>
    </x:xf>
    <x:xf numFmtId="200" fontId="8" fillId="11" borderId="1" xfId="0" applyNumberFormat="1" applyFont="1" applyFill="1" applyBorder="1" applyAlignment="1">
      <x:alignment wrapText="0"/>
    </x:xf>
    <x:xf numFmtId="0" fontId="6" fillId="3" borderId="1" xfId="0" applyNumberFormat="1" applyFont="1" applyFill="1" applyBorder="1" applyAlignment="1">
      <x:alignment horizontal="left" vertical="center" wrapText="0"/>
    </x:xf>
    <x:xf numFmtId="0" fontId="0" fillId="0" borderId="0" xfId="0" applyNumberFormat="1" applyFont="1" applyFill="1" applyBorder="1" applyAlignment="1">
      <x:alignment vertical="center" wrapText="0"/>
    </x:xf>
    <x:xf numFmtId="0" fontId="7" fillId="7" borderId="0" xfId="0" applyNumberFormat="1" applyFont="1" applyFill="1" applyBorder="1" applyAlignment="1">
      <x:alignment vertical="center" wrapText="0"/>
    </x:xf>
    <x:xf numFmtId="0" fontId="5" fillId="6" borderId="0" xfId="0" applyNumberFormat="1" applyFont="1" applyFill="1" applyBorder="1" applyAlignment="1">
      <x:alignment horizontal="center" vertical="center" wrapText="0"/>
    </x:xf>
    <x:xf numFmtId="203" fontId="0" fillId="7" borderId="0" xfId="0" applyNumberFormat="1" applyFont="1" applyFill="1" applyBorder="1" applyAlignment="1">
      <x:alignment vertical="center" wrapText="0"/>
    </x:xf>
    <x:xf numFmtId="200" fontId="0" fillId="7" borderId="0" xfId="0" applyNumberFormat="1" applyFont="1" applyFill="1" applyBorder="1" applyAlignment="1">
      <x:alignment vertical="center" wrapText="0"/>
    </x:xf>
    <x:xf numFmtId="0" fontId="5" fillId="2" borderId="0" xfId="0" applyNumberFormat="1" applyFont="1" applyFill="1" applyBorder="1" applyAlignment="1">
      <x:alignment horizontal="center" vertical="center" wrapText="0"/>
    </x:xf>
    <x:xf numFmtId="0" fontId="0" fillId="7" borderId="0" xfId="0" applyNumberFormat="1" applyFont="1" applyFill="1" applyBorder="1" applyAlignment="1">
      <x:alignment vertical="center" wrapText="0"/>
    </x:xf>
    <x:xf numFmtId="201" fontId="0" fillId="7" borderId="0" xfId="0" applyNumberFormat="1" applyFont="1" applyFill="1" applyBorder="1" applyAlignment="1">
      <x:alignment vertical="center" wrapText="0"/>
    </x:xf>
    <x:xf numFmtId="0" fontId="8" fillId="11" borderId="0" xfId="0" applyNumberFormat="1" applyFont="1" applyFill="1" applyBorder="1" applyAlignment="1">
      <x:alignment vertical="center" wrapText="0"/>
    </x:xf>
    <x:xf numFmtId="201" fontId="8" fillId="11" borderId="0" xfId="0" applyNumberFormat="1" applyFont="1" applyFill="1" applyBorder="1" applyAlignment="1">
      <x:alignment vertical="center" wrapText="0"/>
    </x:xf>
    <x:xf numFmtId="200" fontId="8" fillId="11" borderId="0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vertical="center" wrapText="0"/>
    </x:xf>
    <x:xf numFmtId="0" fontId="7" fillId="7" borderId="1" xfId="0" applyNumberFormat="1" applyFont="1" applyFill="1" applyBorder="1" applyAlignment="1">
      <x:alignment vertical="center" wrapText="0"/>
    </x:xf>
    <x:xf numFmtId="0" fontId="5" fillId="6" borderId="1" xfId="0" applyNumberFormat="1" applyFont="1" applyFill="1" applyBorder="1" applyAlignment="1">
      <x:alignment horizontal="center" vertical="center" wrapText="0"/>
    </x:xf>
    <x:xf numFmtId="203" fontId="0" fillId="7" borderId="1" xfId="0" applyNumberFormat="1" applyFont="1" applyFill="1" applyBorder="1" applyAlignment="1">
      <x:alignment vertical="center" wrapText="0"/>
    </x:xf>
    <x:xf numFmtId="200" fontId="0" fillId="7" borderId="1" xfId="0" applyNumberFormat="1" applyFont="1" applyFill="1" applyBorder="1" applyAlignment="1">
      <x:alignment vertical="center" wrapText="0"/>
    </x:xf>
    <x:xf numFmtId="0" fontId="5" fillId="2" borderId="1" xfId="0" applyNumberFormat="1" applyFont="1" applyFill="1" applyBorder="1" applyAlignment="1">
      <x:alignment horizontal="center" vertical="center" wrapText="0"/>
    </x:xf>
    <x:xf numFmtId="0" fontId="0" fillId="7" borderId="1" xfId="0" applyNumberFormat="1" applyFont="1" applyFill="1" applyBorder="1" applyAlignment="1">
      <x:alignment vertical="center" wrapText="0"/>
    </x:xf>
    <x:xf numFmtId="201" fontId="0" fillId="7" borderId="1" xfId="0" applyNumberFormat="1" applyFont="1" applyFill="1" applyBorder="1" applyAlignment="1">
      <x:alignment vertical="center" wrapText="0"/>
    </x:xf>
    <x:xf numFmtId="0" fontId="8" fillId="11" borderId="1" xfId="0" applyNumberFormat="1" applyFont="1" applyFill="1" applyBorder="1" applyAlignment="1">
      <x:alignment vertical="center" wrapText="0"/>
    </x:xf>
    <x:xf numFmtId="201" fontId="8" fillId="11" borderId="1" xfId="0" applyNumberFormat="1" applyFont="1" applyFill="1" applyBorder="1" applyAlignment="1">
      <x:alignment vertical="center" wrapText="0"/>
    </x:xf>
    <x:xf numFmtId="200" fontId="8" fillId="11" borderId="1" xfId="0" applyNumberFormat="1" applyFont="1" applyFill="1" applyBorder="1" applyAlignment="1">
      <x:alignment vertical="center" wrapText="0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horizontal="center"/>
    </x:xf>
    <x:xf numFmtId="0" fontId="10" fillId="2" borderId="1" xfId="0" applyNumberFormat="1" applyFont="1" applyFill="1" applyBorder="1"/>
    <x:xf numFmtId="0" fontId="10" fillId="2" borderId="1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204" fontId="0" fillId="7" borderId="0" xfId="0" applyNumberFormat="1" applyFont="1" applyFill="1" applyBorder="1"/>
    <x:xf numFmtId="204" fontId="0" fillId="7" borderId="1" xfId="0" applyNumberFormat="1" applyFont="1" applyFill="1" applyBorder="1"/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horizontal="center"/>
    </x:xf>
    <x:xf numFmtId="0" fontId="11" fillId="2" borderId="0" xfId="0" applyNumberFormat="1" applyFont="1" applyFill="1" applyBorder="1" applyAlignment="1">
      <x:alignment horizontal="center" vertical="center"/>
    </x:xf>
    <x:xf numFmtId="0" fontId="11" fillId="2" borderId="1" xfId="0" applyNumberFormat="1" applyFont="1" applyFill="1" applyBorder="1"/>
    <x:xf numFmtId="0" fontId="11" fillId="2" borderId="1" xfId="0" applyNumberFormat="1" applyFont="1" applyFill="1" applyBorder="1" applyAlignment="1">
      <x:alignment horizontal="center"/>
    </x:xf>
    <x:xf numFmtId="0" fontId="11" fillId="2" borderId="1" xfId="0" applyNumberFormat="1" applyFont="1" applyFill="1" applyBorder="1" applyAlignment="1">
      <x:alignment horizontal="center" vertical="center"/>
    </x:xf>
    <x:xf numFmtId="0" fontId="12" fillId="7" borderId="0" xfId="0" applyNumberFormat="1" applyFont="1" applyFill="1" applyBorder="1"/>
    <x:xf numFmtId="0" fontId="12" fillId="7" borderId="0" xfId="0" applyNumberFormat="1" applyFont="1" applyFill="1" applyBorder="1" applyAlignment="1">
      <x:alignment wrapText="1"/>
    </x:xf>
    <x:xf numFmtId="0" fontId="12" fillId="7" borderId="1" xfId="0" applyNumberFormat="1" applyFont="1" applyFill="1" applyBorder="1"/>
    <x:xf numFmtId="0" fontId="12" fillId="7" borderId="1" xfId="0" applyNumberFormat="1" applyFont="1" applyFill="1" applyBorder="1" applyAlignment="1">
      <x:alignment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vertical="top" wrapText="1"/>
    </x:xf>
    <x:xf numFmtId="0" fontId="13" fillId="12" borderId="0" xfId="0" applyNumberFormat="1" applyFont="1" applyFill="1" applyBorder="1"/>
    <x:xf numFmtId="0" fontId="13" fillId="12" borderId="0" xfId="0" applyNumberFormat="1" applyFont="1" applyFill="1" applyBorder="1" applyAlignment="1">
      <x:alignment wrapText="1"/>
    </x:xf>
    <x:xf numFmtId="0" fontId="13" fillId="12" borderId="0" xfId="0" applyNumberFormat="1" applyFont="1" applyFill="1" applyBorder="1" applyAlignment="1">
      <x:alignment vertical="center" wrapText="1"/>
    </x:xf>
    <x:xf numFmtId="0" fontId="13" fillId="12" borderId="1" xfId="0" applyNumberFormat="1" applyFont="1" applyFill="1" applyBorder="1"/>
    <x:xf numFmtId="0" fontId="13" fillId="12" borderId="1" xfId="0" applyNumberFormat="1" applyFont="1" applyFill="1" applyBorder="1" applyAlignment="1">
      <x:alignment wrapText="1"/>
    </x:xf>
    <x:xf numFmtId="0" fontId="13" fillId="12" borderId="1" xfId="0" applyNumberFormat="1" applyFont="1" applyFill="1" applyBorder="1" applyAlignment="1">
      <x:alignment vertical="center" wrapText="1"/>
    </x:xf>
    <x:xf numFmtId="200" fontId="8" fillId="9" borderId="0" xfId="0" applyNumberFormat="1" applyFont="1" applyFill="1" applyBorder="1" applyAlignment="1">
      <x:alignment vertical="center" wrapText="0"/>
    </x:xf>
    <x:xf numFmtId="200" fontId="9" fillId="9" borderId="0" xfId="0" applyNumberFormat="1" applyFont="1" applyFill="1" applyBorder="1" applyAlignment="1">
      <x:alignment vertical="center" wrapText="0"/>
    </x:xf>
    <x:xf numFmtId="200" fontId="8" fillId="9" borderId="1" xfId="0" applyNumberFormat="1" applyFont="1" applyFill="1" applyBorder="1" applyAlignment="1">
      <x:alignment vertical="center" wrapText="0"/>
    </x:xf>
    <x:xf numFmtId="200" fontId="9" fillId="9" borderId="1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0fa602a68d41ac" /><Relationship Type="http://schemas.openxmlformats.org/officeDocument/2006/relationships/theme" Target="/xl/theme/theme1.xml" Id="Rc59946da834843f0" /><Relationship Type="http://schemas.openxmlformats.org/officeDocument/2006/relationships/sharedStrings" Target="/xl/sharedStrings.xml" Id="R03fd5308cff24070" /><Relationship Type="http://schemas.openxmlformats.org/officeDocument/2006/relationships/worksheet" Target="/xl/worksheets/sheet1.xml" Id="Rde70bf0fe5e544c6" /><Relationship Type="http://schemas.openxmlformats.org/officeDocument/2006/relationships/worksheet" Target="/xl/worksheets/sheet2.xml" Id="R7cc45a709ff64e57" /><Relationship Type="http://schemas.openxmlformats.org/officeDocument/2006/relationships/worksheet" Target="/xl/worksheets/sheet3.xml" Id="R60bdbe5ad0804ca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a35ad24e6ac43b4" /><Relationship Type="http://schemas.openxmlformats.org/officeDocument/2006/relationships/chart" Target="/xl/drawings/charts/chart2.xml" Id="R4f1a4a3593fc4db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Patrimônio projetado por prazo</a:t>
            </a:r>
          </a:p>
        </c:rich>
      </c:tx>
    </c:title>
    <c:plotArea>
      <c:lineChart>
        <c:grouping val="standard"/>
        <c:ser>
          <c:idx val="0"/>
          <c:order val="0"/>
          <c:tx>
            <c:v>Patrimônio projetado</c:v>
          </c:tx>
          <c:marker>
            <c:symbol val="none"/>
          </c:marker>
          <c:cat>
            <c:strRef>
              <c:f>'Simulador'!$A$20:$A$24</c:f>
              <c:strCache>
                <c:ptCount val="0"/>
              </c:strCache>
            </c:strRef>
          </c:cat>
          <c:val>
            <c:numRef>
              <c:f>'Simulador'!$B$20:$B$24</c:f>
              <c:numCache>
                <c:formatCode>R$ #,##0.00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Distribuição sugerida do aporte</a:t>
            </a:r>
          </a:p>
        </c:rich>
      </c:tx>
    </c:title>
    <c:plotArea>
      <c:pieChart>
        <c:ser>
          <c:idx val="0"/>
          <c:order val="0"/>
          <c:tx>
            <c:v>% sugerido</c:v>
          </c:tx>
          <c:cat>
            <c:strRef>
              <c:f>'Simulador'!$A$29:$A$34</c:f>
              <c:strCache>
                <c:ptCount val="0"/>
              </c:strCache>
            </c:strRef>
          </c:cat>
          <c:val>
            <c:numRef>
              <c:f>'Simulador'!$B$29:$B$34</c:f>
              <c:numCache>
                <c:formatCode>0.00%</c:formatCode>
                <c:ptCount val="0"/>
              </c:numCache>
            </c:numRef>
          </c:val>
        </c:ser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8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a35ad24e6ac43b4"/>
        </a:graphicData>
      </a:graphic>
    </xdr:graphicFrame>
    <xdr:clientData/>
  </xdr:twoCellAnchor>
  <xdr:twoCellAnchor>
    <xdr:from>
      <xdr:col>4</xdr:col>
      <xdr:colOff>0</xdr:colOff>
      <xdr:row>17</xdr:row>
      <xdr:rowOff>0</xdr:rowOff>
    </xdr:from>
    <xdr:to>
      <xdr:col>8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1a4a3593fc4db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erfisFII" displayName="PerfisFII" ref="A2:D20" headerRowCount="1" totalsRowCount="0" totalsRowShown="0">
  <x:tableColumns count="4">
    <x:tableColumn id="1" name="CHAVE"/>
    <x:tableColumn id="2" name="PERFIL"/>
    <x:tableColumn id="3" name="TIPO DE FII"/>
    <x:tableColumn id="4" name="%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8c0802d059e48b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f88714f111413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0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8" customHeight="1">
      <x:c r="A1" s="108" t="str">
        <x:v>SIMULADOR DE INVESTIMENTOS EM FIIs</x:v>
      </x:c>
      <x:c r="B1" s="108"/>
      <x:c r="C1" s="108"/>
      <x:c r="D1" s="108"/>
      <x:c r="E1" s="108"/>
      <x:c r="F1" s="108"/>
      <x:c r="G1" s="108"/>
      <x:c r="H1" s="108"/>
    </x:row>
    <x:row r="2" ht="28" customHeight="1">
      <x:c r="A2" s="108"/>
      <x:c r="B2" s="108"/>
      <x:c r="C2" s="108"/>
      <x:c r="D2" s="108"/>
      <x:c r="E2" s="108"/>
      <x:c r="F2" s="108"/>
      <x:c r="G2" s="108"/>
      <x:c r="H2" s="108"/>
    </x:row>
    <x:row r="3" ht="22" customHeight="1">
      <x:c r="A3" s="109" t="str">
        <x:v>Desafio DIO • Planejamento de aporte, projeção de patrimônio e distribuição por perfil</x:v>
      </x:c>
      <x:c r="B3" s="109"/>
      <x:c r="C3" s="109"/>
      <x:c r="D3" s="109"/>
      <x:c r="E3" s="109"/>
      <x:c r="F3" s="109"/>
      <x:c r="G3" s="109"/>
      <x:c r="H3" s="109"/>
    </x:row>
    <x:row r="4">
      <x:c r="A4" s="154"/>
      <x:c r="B4" s="154"/>
      <x:c r="C4" s="154"/>
      <x:c r="D4" s="154"/>
      <x:c r="E4" s="154"/>
      <x:c r="F4" s="154"/>
      <x:c r="G4" s="154"/>
      <x:c r="H4" s="154"/>
    </x:row>
    <x:row r="5" ht="21" customHeight="1">
      <x:c r="A5" s="111" t="str">
        <x:v>CONFIGURAÇÕES</x:v>
      </x:c>
      <x:c r="B5" s="111"/>
      <x:c r="C5" s="111"/>
      <x:c r="D5" s="111"/>
      <x:c r="E5" s="154"/>
      <x:c r="F5" s="154"/>
      <x:c r="G5" s="154"/>
      <x:c r="H5" s="154"/>
    </x:row>
    <x:row r="6" ht="21" customHeight="1">
      <x:c r="A6" s="155" t="str">
        <x:v>Salário mensal</x:v>
      </x:c>
      <x:c r="B6" s="155"/>
      <x:c r="C6" s="155"/>
      <x:c r="D6" s="113" t="n">
        <x:v>3000</x:v>
      </x:c>
      <x:c r="E6" s="154"/>
      <x:c r="F6" s="154"/>
      <x:c r="G6" s="154"/>
      <x:c r="H6" s="154"/>
    </x:row>
    <x:row r="7" ht="21" customHeight="1">
      <x:c r="A7" s="155" t="str">
        <x:v>Rendimento mensal da carteira</x:v>
      </x:c>
      <x:c r="B7" s="155"/>
      <x:c r="C7" s="155"/>
      <x:c r="D7" s="114" t="n">
        <x:v>0.006</x:v>
      </x:c>
      <x:c r="E7" s="154"/>
      <x:c r="F7" s="154"/>
      <x:c r="G7" s="154"/>
      <x:c r="H7" s="154"/>
    </x:row>
    <x:row r="8" ht="21" customHeight="1">
      <x:c r="A8" s="155" t="str">
        <x:v>Percentual sugerido para investir</x:v>
      </x:c>
      <x:c r="B8" s="155"/>
      <x:c r="C8" s="155"/>
      <x:c r="D8" s="114" t="n">
        <x:v>0.3</x:v>
      </x:c>
      <x:c r="E8" s="154"/>
      <x:c r="F8" s="154"/>
      <x:c r="G8" s="154"/>
      <x:c r="H8" s="154"/>
    </x:row>
    <x:row r="9" ht="21" customHeight="1">
      <x:c r="A9" s="155" t="str">
        <x:v>Investimento sugerido</x:v>
      </x:c>
      <x:c r="B9" s="155"/>
      <x:c r="C9" s="155"/>
      <x:c r="D9" s="115" t="n">
        <x:f>ROUND(D6*D8,2)</x:f>
        <x:v>900</x:v>
      </x:c>
      <x:c r="E9" s="154"/>
      <x:c r="F9" s="154"/>
      <x:c r="G9" s="154"/>
      <x:c r="H9" s="154"/>
    </x:row>
    <x:row r="10" ht="21" customHeight="1">
      <x:c r="A10" s="154"/>
      <x:c r="B10" s="154"/>
      <x:c r="C10" s="154"/>
      <x:c r="D10" s="154"/>
      <x:c r="E10" s="154"/>
      <x:c r="F10" s="154"/>
      <x:c r="G10" s="154"/>
      <x:c r="H10" s="154"/>
    </x:row>
    <x:row r="11" ht="21" customHeight="1">
      <x:c r="A11" s="116" t="str">
        <x:v>SIMULAÇÃO MENSAL</x:v>
      </x:c>
      <x:c r="B11" s="116"/>
      <x:c r="C11" s="116"/>
      <x:c r="D11" s="116"/>
      <x:c r="E11" s="154"/>
      <x:c r="F11" s="154"/>
      <x:c r="G11" s="154"/>
      <x:c r="H11" s="154"/>
    </x:row>
    <x:row r="12" ht="21" customHeight="1">
      <x:c r="A12" s="155" t="str">
        <x:v>Aporte mensal</x:v>
      </x:c>
      <x:c r="B12" s="155"/>
      <x:c r="C12" s="155"/>
      <x:c r="D12" s="113" t="n">
        <x:f>D9</x:f>
        <x:v>900</x:v>
      </x:c>
      <x:c r="E12" s="154"/>
      <x:c r="F12" s="154"/>
      <x:c r="G12" s="154"/>
      <x:c r="H12" s="154"/>
    </x:row>
    <x:row r="13" ht="21" customHeight="1">
      <x:c r="A13" s="155" t="str">
        <x:v>Prazo do investimento (anos)</x:v>
      </x:c>
      <x:c r="B13" s="155"/>
      <x:c r="C13" s="155"/>
      <x:c r="D13" s="117" t="n">
        <x:v>10</x:v>
      </x:c>
      <x:c r="E13" s="154"/>
      <x:c r="F13" s="154"/>
      <x:c r="G13" s="154"/>
      <x:c r="H13" s="154"/>
    </x:row>
    <x:row r="14" ht="21" customHeight="1">
      <x:c r="A14" s="155" t="str">
        <x:v>Taxa de rendimento mensal</x:v>
      </x:c>
      <x:c r="B14" s="155"/>
      <x:c r="C14" s="155"/>
      <x:c r="D14" s="114" t="n">
        <x:v>0.01079</x:v>
      </x:c>
      <x:c r="E14" s="154"/>
      <x:c r="F14" s="154"/>
      <x:c r="G14" s="154"/>
      <x:c r="H14" s="154"/>
    </x:row>
    <x:row r="15" ht="21" customHeight="1">
      <x:c r="A15" s="155" t="str">
        <x:v>Patrimônio acumulado</x:v>
      </x:c>
      <x:c r="B15" s="155"/>
      <x:c r="C15" s="155"/>
      <x:c r="D15" s="115" t="n">
        <x:f>ROUND(FV(D14,D13*12,D12*-1),2)</x:f>
        <x:v>218955.79</x:v>
      </x:c>
      <x:c r="E15" s="154"/>
      <x:c r="F15" s="154"/>
      <x:c r="G15" s="154"/>
      <x:c r="H15" s="154"/>
    </x:row>
    <x:row r="16" ht="21" customHeight="1">
      <x:c r="A16" s="155" t="str">
        <x:v>Dividendos mensais estimados</x:v>
      </x:c>
      <x:c r="B16" s="155"/>
      <x:c r="C16" s="155"/>
      <x:c r="D16" s="115" t="n">
        <x:f>ROUND(D15*D7,2)</x:f>
        <x:v>1313.73</x:v>
      </x:c>
      <x:c r="E16" s="154"/>
      <x:c r="F16" s="154"/>
      <x:c r="G16" s="154"/>
      <x:c r="H16" s="154"/>
    </x:row>
    <x:row r="17" ht="21" customHeight="1">
      <x:c r="A17" s="154"/>
      <x:c r="B17" s="154"/>
      <x:c r="C17" s="154"/>
      <x:c r="D17" s="154"/>
      <x:c r="E17" s="154"/>
      <x:c r="F17" s="154"/>
      <x:c r="G17" s="154"/>
      <x:c r="H17" s="154"/>
    </x:row>
    <x:row r="18" ht="21" customHeight="1">
      <x:c r="A18" s="156" t="str">
        <x:v>CENÁRIOS DE LONGO PRAZO</x:v>
      </x:c>
      <x:c r="B18" s="156"/>
      <x:c r="C18" s="156"/>
      <x:c r="D18" s="154"/>
      <x:c r="E18" s="154"/>
      <x:c r="F18" s="154"/>
      <x:c r="G18" s="154"/>
      <x:c r="H18" s="154"/>
    </x:row>
    <x:row r="19" ht="21" customHeight="1">
      <x:c r="A19" s="119" t="str">
        <x:v>Prazo</x:v>
      </x:c>
      <x:c r="B19" s="119" t="str">
        <x:v>Patrimônio projetado</x:v>
      </x:c>
      <x:c r="C19" s="119" t="str">
        <x:v>Dividendos/mês</x:v>
      </x:c>
      <x:c r="D19" s="154"/>
      <x:c r="E19" s="154"/>
      <x:c r="F19" s="154"/>
      <x:c r="G19" s="154"/>
      <x:c r="H19" s="154"/>
    </x:row>
    <x:row r="20" ht="21" customHeight="1">
      <x:c r="A20" s="157" t="n">
        <x:v>2</x:v>
      </x:c>
      <x:c r="B20" s="158" t="n">
        <x:f>ROUND(FV($D$14,A20*12,$D$12*-1),2)</x:f>
        <x:v>24504.86</x:v>
      </x:c>
      <x:c r="C20" s="158" t="n">
        <x:f>ROUND(B20*$D$7,2)</x:f>
        <x:v>147.03</x:v>
      </x:c>
      <x:c r="D20" s="154"/>
      <x:c r="E20" s="154"/>
      <x:c r="F20" s="154"/>
      <x:c r="G20" s="154"/>
      <x:c r="H20" s="154"/>
    </x:row>
    <x:row r="21" ht="21" customHeight="1">
      <x:c r="A21" s="157" t="n">
        <x:v>5</x:v>
      </x:c>
      <x:c r="B21" s="158" t="n">
        <x:f>ROUND(FV($D$14,A21*12,$D$12*-1),2)</x:f>
        <x:v>75399.22</x:v>
      </x:c>
      <x:c r="C21" s="158" t="n">
        <x:f>ROUND(B21*$D$7,2)</x:f>
        <x:v>452.4</x:v>
      </x:c>
      <x:c r="D21" s="154"/>
      <x:c r="E21" s="154"/>
      <x:c r="F21" s="154"/>
      <x:c r="G21" s="154"/>
      <x:c r="H21" s="154"/>
    </x:row>
    <x:row r="22" ht="21" customHeight="1">
      <x:c r="A22" s="157" t="n">
        <x:v>10</x:v>
      </x:c>
      <x:c r="B22" s="158" t="n">
        <x:f>ROUND(FV($D$14,A22*12,$D$12*-1),2)</x:f>
        <x:v>218955.79</x:v>
      </x:c>
      <x:c r="C22" s="158" t="n">
        <x:f>ROUND(B22*$D$7,2)</x:f>
        <x:v>1313.73</x:v>
      </x:c>
      <x:c r="D22" s="154"/>
      <x:c r="E22" s="154"/>
      <x:c r="F22" s="154"/>
      <x:c r="G22" s="154"/>
      <x:c r="H22" s="154"/>
    </x:row>
    <x:row r="23" ht="21" customHeight="1">
      <x:c r="A23" s="157" t="n">
        <x:v>20</x:v>
      </x:c>
      <x:c r="B23" s="158" t="n">
        <x:f>ROUND(FV($D$14,A23*12,$D$12*-1),2)</x:f>
        <x:v>1012678.56</x:v>
      </x:c>
      <x:c r="C23" s="158" t="n">
        <x:f>ROUND(B23*$D$7,2)</x:f>
        <x:v>6076.07</x:v>
      </x:c>
      <x:c r="D23" s="154"/>
      <x:c r="E23" s="154"/>
      <x:c r="F23" s="154"/>
      <x:c r="G23" s="154"/>
      <x:c r="H23" s="154"/>
    </x:row>
    <x:row r="24" ht="21" customHeight="1">
      <x:c r="A24" s="157" t="n">
        <x:v>30</x:v>
      </x:c>
      <x:c r="B24" s="158" t="n">
        <x:f>ROUND(FV($D$14,A24*12,$D$12*-1),2)</x:f>
        <x:v>3889952.69</x:v>
      </x:c>
      <x:c r="C24" s="158" t="n">
        <x:f>ROUND(B24*$D$7,2)</x:f>
        <x:v>23339.72</x:v>
      </x:c>
      <x:c r="D24" s="154"/>
      <x:c r="E24" s="154"/>
      <x:c r="F24" s="154"/>
      <x:c r="G24" s="154"/>
      <x:c r="H24" s="154"/>
    </x:row>
    <x:row r="25" ht="21" customHeight="1">
      <x:c r="A25" s="154"/>
      <x:c r="B25" s="154"/>
      <x:c r="C25" s="154"/>
      <x:c r="D25" s="154"/>
      <x:c r="E25" s="154"/>
      <x:c r="F25" s="154"/>
      <x:c r="G25" s="154"/>
      <x:c r="H25" s="154"/>
    </x:row>
    <x:row r="26" ht="21" customHeight="1">
      <x:c r="A26" s="159" t="str">
        <x:v>DISTRIBUIÇÃO DO APORTE POR PERFIL</x:v>
      </x:c>
      <x:c r="B26" s="159"/>
      <x:c r="C26" s="159"/>
      <x:c r="D26" s="154"/>
      <x:c r="E26" s="154"/>
      <x:c r="F26" s="154"/>
      <x:c r="G26" s="154"/>
      <x:c r="H26" s="154"/>
    </x:row>
    <x:row r="27" ht="21" customHeight="1">
      <x:c r="A27" s="123" t="str">
        <x:v>Perfil de investidor</x:v>
      </x:c>
      <x:c r="B27" s="123"/>
      <x:c r="C27" s="124" t="str">
        <x:v>Moderado</x:v>
      </x:c>
      <x:c r="D27" s="154"/>
      <x:c r="E27" s="154"/>
      <x:c r="F27" s="154"/>
      <x:c r="G27" s="154"/>
      <x:c r="H27" s="154"/>
    </x:row>
    <x:row r="28" ht="21" customHeight="1">
      <x:c r="A28" s="119" t="str">
        <x:v>Tipo de FII</x:v>
      </x:c>
      <x:c r="B28" s="119" t="str">
        <x:v>% sugerido</x:v>
      </x:c>
      <x:c r="C28" s="119" t="str">
        <x:v>Valor mensal</x:v>
      </x:c>
      <x:c r="D28" s="154"/>
      <x:c r="E28" s="154"/>
      <x:c r="F28" s="154"/>
      <x:c r="G28" s="154"/>
      <x:c r="H28" s="154"/>
    </x:row>
    <x:row r="29" ht="21" customHeight="1">
      <x:c r="A29" s="160" t="str">
        <x:v>PAPEL</x:v>
      </x:c>
      <x:c r="B29" s="161" t="n">
        <x:f>VLOOKUP($C$27&amp;"-"&amp;A29,Perfis!$A$2:$D$19,4,FALSE)</x:f>
        <x:v>0.32</x:v>
      </x:c>
      <x:c r="C29" s="158" t="n">
        <x:f>ROUND(B29*$D$12,2)</x:f>
        <x:v>288</x:v>
      </x:c>
      <x:c r="D29" s="154"/>
      <x:c r="E29" s="154"/>
      <x:c r="F29" s="154"/>
      <x:c r="G29" s="154"/>
      <x:c r="H29" s="154"/>
    </x:row>
    <x:row r="30" ht="21" customHeight="1">
      <x:c r="A30" s="160" t="str">
        <x:v>TIJOLO</x:v>
      </x:c>
      <x:c r="B30" s="161" t="n">
        <x:f>VLOOKUP($C$27&amp;"-"&amp;A30,Perfis!$A$2:$D$19,4,FALSE)</x:f>
        <x:v>0.35</x:v>
      </x:c>
      <x:c r="C30" s="158" t="n">
        <x:f>ROUND(B30*$D$12,2)</x:f>
        <x:v>315</x:v>
      </x:c>
      <x:c r="D30" s="154"/>
      <x:c r="E30" s="154"/>
      <x:c r="F30" s="154"/>
      <x:c r="G30" s="154"/>
      <x:c r="H30" s="154"/>
    </x:row>
    <x:row r="31" ht="21" customHeight="1">
      <x:c r="A31" s="160" t="str">
        <x:v>HÍBRIDOS</x:v>
      </x:c>
      <x:c r="B31" s="161" t="n">
        <x:f>VLOOKUP($C$27&amp;"-"&amp;A31,Perfis!$A$2:$D$19,4,FALSE)</x:f>
        <x:v>0.08</x:v>
      </x:c>
      <x:c r="C31" s="158" t="n">
        <x:f>ROUND(B31*$D$12,2)</x:f>
        <x:v>72</x:v>
      </x:c>
      <x:c r="D31" s="154"/>
      <x:c r="E31" s="154"/>
      <x:c r="F31" s="154"/>
      <x:c r="G31" s="154"/>
      <x:c r="H31" s="154"/>
    </x:row>
    <x:row r="32" ht="21" customHeight="1">
      <x:c r="A32" s="160" t="str">
        <x:v>FOFs</x:v>
      </x:c>
      <x:c r="B32" s="161" t="n">
        <x:f>VLOOKUP($C$27&amp;"-"&amp;A32,Perfis!$A$2:$D$19,4,FALSE)</x:f>
        <x:v>0.05</x:v>
      </x:c>
      <x:c r="C32" s="158" t="n">
        <x:f>ROUND(B32*$D$12,2)</x:f>
        <x:v>45</x:v>
      </x:c>
      <x:c r="D32" s="154"/>
      <x:c r="E32" s="154"/>
      <x:c r="F32" s="154"/>
      <x:c r="G32" s="154"/>
      <x:c r="H32" s="154"/>
    </x:row>
    <x:row r="33" ht="21" customHeight="1">
      <x:c r="A33" s="160" t="str">
        <x:v>DESENVOLVIMENTO</x:v>
      </x:c>
      <x:c r="B33" s="161" t="n">
        <x:f>VLOOKUP($C$27&amp;"-"&amp;A33,Perfis!$A$2:$D$19,4,FALSE)</x:f>
        <x:v>0.1</x:v>
      </x:c>
      <x:c r="C33" s="158" t="n">
        <x:f>ROUND(B33*$D$12,2)</x:f>
        <x:v>90</x:v>
      </x:c>
      <x:c r="D33" s="154"/>
      <x:c r="E33" s="154"/>
      <x:c r="F33" s="154"/>
      <x:c r="G33" s="154"/>
      <x:c r="H33" s="154"/>
    </x:row>
    <x:row r="34" ht="21" customHeight="1">
      <x:c r="A34" s="160" t="str">
        <x:v>HOTELARIAS</x:v>
      </x:c>
      <x:c r="B34" s="161" t="n">
        <x:f>VLOOKUP($C$27&amp;"-"&amp;A34,Perfis!$A$2:$D$19,4,FALSE)</x:f>
        <x:v>0.1</x:v>
      </x:c>
      <x:c r="C34" s="158" t="n">
        <x:f>ROUND(B34*$D$12,2)</x:f>
        <x:v>90</x:v>
      </x:c>
      <x:c r="D34" s="154"/>
      <x:c r="E34" s="154"/>
      <x:c r="F34" s="154"/>
      <x:c r="G34" s="154"/>
      <x:c r="H34" s="154"/>
    </x:row>
    <x:row r="35" ht="21" customHeight="1">
      <x:c r="A35" s="162" t="str">
        <x:v>TOTAL</x:v>
      </x:c>
      <x:c r="B35" s="163" t="n">
        <x:f>ROUND(SUM(B29:B34),4)</x:f>
        <x:v>1</x:v>
      </x:c>
      <x:c r="C35" s="115" t="n">
        <x:f>ROUND(SUM(C29:C34),2)</x:f>
        <x:v>900</x:v>
      </x:c>
      <x:c r="D35" s="154"/>
      <x:c r="E35" s="154"/>
      <x:c r="F35" s="154"/>
      <x:c r="G35" s="154"/>
      <x:c r="H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</x:row>
    <x:row r="37">
      <x:c r="A37" s="130" t="str">
        <x:v>Observação: esta planilha é uma simulação educacional. Rentabilidade passada ou estimada não garante resultados futuros.</x:v>
      </x:c>
      <x:c r="B37" s="130"/>
      <x:c r="C37" s="130"/>
      <x:c r="D37" s="130"/>
      <x:c r="E37" s="130"/>
      <x:c r="F37" s="130"/>
      <x:c r="G37" s="130"/>
      <x:c r="H37" s="130"/>
    </x:row>
    <x:row r="38">
      <x:c r="A38" s="130"/>
      <x:c r="B38" s="130"/>
      <x:c r="C38" s="130"/>
      <x:c r="D38" s="130"/>
      <x:c r="E38" s="130"/>
      <x:c r="F38" s="130"/>
      <x:c r="G38" s="130"/>
      <x:c r="H38" s="130"/>
    </x:row>
  </x:sheetData>
  <x:mergeCells>
    <x:mergeCell ref="A1:H2"/>
    <x:mergeCell ref="A3:H3"/>
    <x:mergeCell ref="A5:D5"/>
    <x:mergeCell ref="A11:D11"/>
    <x:mergeCell ref="A18:C18"/>
    <x:mergeCell ref="A26:C26"/>
    <x:mergeCell ref="A27:B27"/>
    <x:mergeCell ref="A37:H38"/>
  </x:mergeCells>
  <x:conditionalFormatting sqref="B20:B24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{53B53D9C-16D1-076A-FD21-264E6EE20F29}</x14:id>
        </x:ext>
      </x:extLst>
    </x:cfRule>
  </x:conditionalFormatting>
  <x:conditionalFormatting sqref="B29:B34">
    <x:cfRule type="dataBar" priority="2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{B9509A08-F6E1-DD7D-96E5-45D93FC4A73B}</x14:id>
        </x:ext>
      </x:extLst>
    </x:cfRule>
  </x:conditionalFormatting>
  <x:dataValidations count="1">
    <x:dataValidation type="list" sqref="C27">
      <x:formula1>"Conservador,Moderado,Agressivo"</x:formula1>
    </x:dataValidation>
  </x:dataValidations>
  <x:pageMargins left="0.7" right="0.7" top="0.75" bottom="0.75" header="0.3" footer="0.3"/>
  <x:drawing xmlns:r="http://schemas.openxmlformats.org/officeDocument/2006/relationships" r:id="R18c0802d059e48b2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3B53D9C-16D1-076A-FD21-264E6EE20F29}">
            <x14:dataBar gradient="1">
              <x14:cfvo type="min"/>
              <x14:cfvo type="max"/>
              <x14:fillColor rgb="FFA02B93"/>
            </x14:dataBar>
          </x14:cfRule>
          <xm:sqref>B20:B24</xm:sqref>
        </x14:conditionalFormatting>
        <x14:conditionalFormatting>
          <x14:cfRule type="dataBar" priority="2" id="{B9509A08-F6E1-DD7D-96E5-45D93FC4A73B}">
            <x14:dataBar gradient="1">
              <x14:cfvo type="min"/>
              <x14:cfvo type="max"/>
              <x14:fillColor rgb="FF0F9ED5"/>
            </x14:dataBar>
          </x14:cfRule>
          <xm:sqref>B29:B34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22" hidden="0" customWidth="1"/>
    <x:col min="4" max="4" width="12" hidden="0" customWidth="1"/>
  </x:cols>
  <x:sheetData>
    <x:row r="1">
      <x:c r="A1" s="177" t="str">
        <x:v>BASE DE PERFIS DE INVESTIDOR</x:v>
      </x:c>
      <x:c r="B1" s="177"/>
      <x:c r="C1" s="177"/>
      <x:c r="D1" s="177"/>
    </x:row>
    <x:row r="2">
      <x:c r="A2" s="181" t="str">
        <x:v>CHAVE</x:v>
      </x:c>
      <x:c r="B2" s="181" t="str">
        <x:v>PERFIL</x:v>
      </x:c>
      <x:c r="C2" s="181" t="str">
        <x:v>TIPO DE FII</x:v>
      </x:c>
      <x:c r="D2" s="181" t="str">
        <x:v>%</x:v>
      </x:c>
    </x:row>
    <x:row r="3">
      <x:c r="A3" s="52" t="str">
        <x:v>Conservador-PAPEL</x:v>
      </x:c>
      <x:c r="B3" s="52" t="str">
        <x:v>Conservador</x:v>
      </x:c>
      <x:c r="C3" s="52" t="str">
        <x:v>PAPEL</x:v>
      </x:c>
      <x:c r="D3" s="184" t="n">
        <x:v>0.3</x:v>
      </x:c>
    </x:row>
    <x:row r="4">
      <x:c r="A4" s="52" t="str">
        <x:v>Conservador-TIJOLO</x:v>
      </x:c>
      <x:c r="B4" s="52" t="str">
        <x:v>Conservador</x:v>
      </x:c>
      <x:c r="C4" s="52" t="str">
        <x:v>TIJOLO</x:v>
      </x:c>
      <x:c r="D4" s="184" t="n">
        <x:v>0.5</x:v>
      </x:c>
    </x:row>
    <x:row r="5">
      <x:c r="A5" s="52" t="str">
        <x:v>Conservador-HÍBRIDOS</x:v>
      </x:c>
      <x:c r="B5" s="52" t="str">
        <x:v>Conservador</x:v>
      </x:c>
      <x:c r="C5" s="52" t="str">
        <x:v>HÍBRIDOS</x:v>
      </x:c>
      <x:c r="D5" s="184" t="n">
        <x:v>0.1</x:v>
      </x:c>
    </x:row>
    <x:row r="6">
      <x:c r="A6" s="52" t="str">
        <x:v>Conservador-FOFs</x:v>
      </x:c>
      <x:c r="B6" s="52" t="str">
        <x:v>Conservador</x:v>
      </x:c>
      <x:c r="C6" s="52" t="str">
        <x:v>FOFs</x:v>
      </x:c>
      <x:c r="D6" s="184" t="n">
        <x:v>0.1</x:v>
      </x:c>
    </x:row>
    <x:row r="7">
      <x:c r="A7" s="52" t="str">
        <x:v>Conservador-DESENVOLVIMENTO</x:v>
      </x:c>
      <x:c r="B7" s="52" t="str">
        <x:v>Conservador</x:v>
      </x:c>
      <x:c r="C7" s="52" t="str">
        <x:v>DESENVOLVIMENTO</x:v>
      </x:c>
      <x:c r="D7" s="184" t="n">
        <x:v>0</x:v>
      </x:c>
    </x:row>
    <x:row r="8">
      <x:c r="A8" s="52" t="str">
        <x:v>Conservador-HOTELARIAS</x:v>
      </x:c>
      <x:c r="B8" s="52" t="str">
        <x:v>Conservador</x:v>
      </x:c>
      <x:c r="C8" s="52" t="str">
        <x:v>HOTELARIAS</x:v>
      </x:c>
      <x:c r="D8" s="184" t="n">
        <x:v>0</x:v>
      </x:c>
    </x:row>
    <x:row r="9">
      <x:c r="A9" s="52" t="str">
        <x:v>Moderado-PAPEL</x:v>
      </x:c>
      <x:c r="B9" s="52" t="str">
        <x:v>Moderado</x:v>
      </x:c>
      <x:c r="C9" s="52" t="str">
        <x:v>PAPEL</x:v>
      </x:c>
      <x:c r="D9" s="184" t="n">
        <x:v>0.32</x:v>
      </x:c>
    </x:row>
    <x:row r="10">
      <x:c r="A10" s="52" t="str">
        <x:v>Moderado-TIJOLO</x:v>
      </x:c>
      <x:c r="B10" s="52" t="str">
        <x:v>Moderado</x:v>
      </x:c>
      <x:c r="C10" s="52" t="str">
        <x:v>TIJOLO</x:v>
      </x:c>
      <x:c r="D10" s="184" t="n">
        <x:v>0.35</x:v>
      </x:c>
    </x:row>
    <x:row r="11">
      <x:c r="A11" s="52" t="str">
        <x:v>Moderado-HÍBRIDOS</x:v>
      </x:c>
      <x:c r="B11" s="52" t="str">
        <x:v>Moderado</x:v>
      </x:c>
      <x:c r="C11" s="52" t="str">
        <x:v>HÍBRIDOS</x:v>
      </x:c>
      <x:c r="D11" s="184" t="n">
        <x:v>0.08</x:v>
      </x:c>
    </x:row>
    <x:row r="12">
      <x:c r="A12" s="52" t="str">
        <x:v>Moderado-FOFs</x:v>
      </x:c>
      <x:c r="B12" s="52" t="str">
        <x:v>Moderado</x:v>
      </x:c>
      <x:c r="C12" s="52" t="str">
        <x:v>FOFs</x:v>
      </x:c>
      <x:c r="D12" s="184" t="n">
        <x:v>0.05</x:v>
      </x:c>
    </x:row>
    <x:row r="13">
      <x:c r="A13" s="52" t="str">
        <x:v>Moderado-DESENVOLVIMENTO</x:v>
      </x:c>
      <x:c r="B13" s="52" t="str">
        <x:v>Moderado</x:v>
      </x:c>
      <x:c r="C13" s="52" t="str">
        <x:v>DESENVOLVIMENTO</x:v>
      </x:c>
      <x:c r="D13" s="184" t="n">
        <x:v>0.1</x:v>
      </x:c>
    </x:row>
    <x:row r="14">
      <x:c r="A14" s="52" t="str">
        <x:v>Moderado-HOTELARIAS</x:v>
      </x:c>
      <x:c r="B14" s="52" t="str">
        <x:v>Moderado</x:v>
      </x:c>
      <x:c r="C14" s="52" t="str">
        <x:v>HOTELARIAS</x:v>
      </x:c>
      <x:c r="D14" s="184" t="n">
        <x:v>0.1</x:v>
      </x:c>
    </x:row>
    <x:row r="15">
      <x:c r="A15" s="52" t="str">
        <x:v>Agressivo-PAPEL</x:v>
      </x:c>
      <x:c r="B15" s="52" t="str">
        <x:v>Agressivo</x:v>
      </x:c>
      <x:c r="C15" s="52" t="str">
        <x:v>PAPEL</x:v>
      </x:c>
      <x:c r="D15" s="184" t="n">
        <x:v>0.5</x:v>
      </x:c>
    </x:row>
    <x:row r="16">
      <x:c r="A16" s="52" t="str">
        <x:v>Agressivo-TIJOLO</x:v>
      </x:c>
      <x:c r="B16" s="52" t="str">
        <x:v>Agressivo</x:v>
      </x:c>
      <x:c r="C16" s="52" t="str">
        <x:v>TIJOLO</x:v>
      </x:c>
      <x:c r="D16" s="184" t="n">
        <x:v>0.1</x:v>
      </x:c>
    </x:row>
    <x:row r="17">
      <x:c r="A17" s="52" t="str">
        <x:v>Agressivo-HÍBRIDOS</x:v>
      </x:c>
      <x:c r="B17" s="52" t="str">
        <x:v>Agressivo</x:v>
      </x:c>
      <x:c r="C17" s="52" t="str">
        <x:v>HÍBRIDOS</x:v>
      </x:c>
      <x:c r="D17" s="184" t="n">
        <x:v>0.05</x:v>
      </x:c>
    </x:row>
    <x:row r="18">
      <x:c r="A18" s="52" t="str">
        <x:v>Agressivo-FOFs</x:v>
      </x:c>
      <x:c r="B18" s="52" t="str">
        <x:v>Agressivo</x:v>
      </x:c>
      <x:c r="C18" s="52" t="str">
        <x:v>FOFs</x:v>
      </x:c>
      <x:c r="D18" s="184" t="n">
        <x:v>0.05</x:v>
      </x:c>
    </x:row>
    <x:row r="19">
      <x:c r="A19" s="52" t="str">
        <x:v>Agressivo-DESENVOLVIMENTO</x:v>
      </x:c>
      <x:c r="B19" s="52" t="str">
        <x:v>Agressivo</x:v>
      </x:c>
      <x:c r="C19" s="52" t="str">
        <x:v>DESENVOLVIMENTO</x:v>
      </x:c>
      <x:c r="D19" s="184" t="n">
        <x:v>0.2</x:v>
      </x:c>
    </x:row>
    <x:row r="20">
      <x:c r="A20" s="52" t="str">
        <x:v>Agressivo-HOTELARIAS</x:v>
      </x:c>
      <x:c r="B20" s="52" t="str">
        <x:v>Agressivo</x:v>
      </x:c>
      <x:c r="C20" s="52" t="str">
        <x:v>HOTELARIAS</x:v>
      </x:c>
      <x:c r="D20" s="184" t="n">
        <x:v>0.1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fbf88714f111413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6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>
      <x:c r="A1" s="188" t="str">
        <x:v>GUIA RÁPIDO — DESAFIO DIO</x:v>
      </x:c>
      <x:c r="B1" s="188"/>
      <x:c r="C1" s="188"/>
      <x:c r="D1" s="188"/>
      <x:c r="E1" s="188"/>
      <x:c r="F1" s="188"/>
    </x:row>
    <x:row r="2">
      <x:c r="A2" s="188"/>
      <x:c r="B2" s="188"/>
      <x:c r="C2" s="188"/>
      <x:c r="D2" s="188"/>
      <x:c r="E2" s="188"/>
      <x:c r="F2" s="188"/>
    </x:row>
    <x:row r="4">
      <x:c r="A4" s="27" t="str">
        <x:v>Como utilizar</x:v>
      </x:c>
      <x:c r="B4" s="27"/>
      <x:c r="C4" s="27"/>
      <x:c r="D4" s="27"/>
      <x:c r="E4" s="27"/>
      <x:c r="F4" s="27"/>
    </x:row>
    <x:row r="5">
      <x:c r="A5" s="58" t="str">
        <x:v>1</x:v>
      </x:c>
      <x:c r="B5" s="193" t="str">
        <x:v>Preencha as células amarelas no Simulador: salário, rendimento, percentual, aporte, prazo e taxa mensal.</x:v>
      </x:c>
    </x:row>
    <x:row r="6">
      <x:c r="A6" s="58" t="str">
        <x:v>2</x:v>
      </x:c>
      <x:c r="B6" s="193" t="str">
        <x:v>A planilha calcula automaticamente o investimento sugerido, patrimônio acumulado e dividendos estimados.</x:v>
      </x:c>
    </x:row>
    <x:row r="7">
      <x:c r="A7" s="58" t="str">
        <x:v>3</x:v>
      </x:c>
      <x:c r="B7" s="193" t="str">
        <x:v>Na área de cenários, compare a evolução do patrimônio para 2, 5, 10, 20 e 30 anos.</x:v>
      </x:c>
    </x:row>
    <x:row r="8">
      <x:c r="A8" s="58" t="str">
        <x:v>4</x:v>
      </x:c>
      <x:c r="B8" s="193" t="str">
        <x:v>Escolha o perfil Conservador, Moderado ou Agressivo na lista suspensa.</x:v>
      </x:c>
    </x:row>
    <x:row r="9">
      <x:c r="A9" s="58" t="str">
        <x:v>5</x:v>
      </x:c>
      <x:c r="B9" s="193" t="str">
        <x:v>A distribuição por tipo de FII será atualizada automaticamente usando a tabela da aba Perfis.</x:v>
      </x:c>
    </x:row>
    <x:row r="10">
      <x:c r="A10" s="58" t="str">
        <x:v>6</x:v>
      </x:c>
      <x:c r="B10" s="193" t="str">
        <x:v>Use os gráficos para interpretar a evolução do patrimônio e a composição sugerida do aporte.</x:v>
      </x:c>
    </x:row>
    <x:row r="12">
      <x:c r="A12" s="19" t="str">
        <x:v>Recursos de Excel demonstrados</x:v>
      </x:c>
      <x:c r="B12" s="19"/>
      <x:c r="C12" s="19"/>
      <x:c r="D12" s="19"/>
      <x:c r="E12" s="19"/>
      <x:c r="F12" s="19"/>
    </x:row>
    <x:row r="13">
      <x:c r="A13" s="198" t="str">
        <x:v>• Fórmulas financeiras (FV) e referências absolutas
• PROCV/VLOOKUP para busca de percentuais por perfil
• Validação de dados com lista suspensa
• Formatação condicional e barras de dados
• Tabela inteligente com filtros
• Gráficos de linha e pizza para análise visual</x:v>
      </x:c>
      <x:c r="B13" s="198"/>
      <x:c r="C13" s="198"/>
      <x:c r="D13" s="198"/>
      <x:c r="E13" s="198"/>
      <x:c r="F13" s="198"/>
    </x:row>
    <x:row r="14">
      <x:c r="A14" s="198"/>
      <x:c r="B14" s="198"/>
      <x:c r="C14" s="198"/>
      <x:c r="D14" s="198"/>
      <x:c r="E14" s="198"/>
      <x:c r="F14" s="198"/>
    </x:row>
    <x:row r="15">
      <x:c r="A15" s="198"/>
      <x:c r="B15" s="198"/>
      <x:c r="C15" s="198"/>
      <x:c r="D15" s="198"/>
      <x:c r="E15" s="198"/>
      <x:c r="F15" s="198"/>
    </x:row>
    <x:row r="16">
      <x:c r="A16" s="198"/>
      <x:c r="B16" s="198"/>
      <x:c r="C16" s="198"/>
      <x:c r="D16" s="198"/>
      <x:c r="E16" s="198"/>
      <x:c r="F16" s="198"/>
    </x:row>
    <x:row r="17">
      <x:c r="A17" s="198"/>
      <x:c r="B17" s="198"/>
      <x:c r="C17" s="198"/>
      <x:c r="D17" s="198"/>
      <x:c r="E17" s="198"/>
      <x:c r="F17" s="198"/>
    </x:row>
    <x:row r="18">
      <x:c r="A18" s="198"/>
      <x:c r="B18" s="198"/>
      <x:c r="C18" s="198"/>
      <x:c r="D18" s="198"/>
      <x:c r="E18" s="198"/>
      <x:c r="F18" s="198"/>
    </x:row>
    <x:row r="20">
      <x:c r="A20" s="204" t="str">
        <x:v>Arquivo desenvolvido como projeto prático para demonstrar organização de dados, fórmulas, validação, formatação e visualização no Excel 365.</x:v>
      </x:c>
      <x:c r="B20" s="204"/>
      <x:c r="C20" s="204"/>
      <x:c r="D20" s="204"/>
      <x:c r="E20" s="204"/>
      <x:c r="F20" s="204"/>
    </x:row>
    <x:row r="21">
      <x:c r="A21" s="204"/>
      <x:c r="B21" s="204"/>
      <x:c r="C21" s="204"/>
      <x:c r="D21" s="204"/>
      <x:c r="E21" s="204"/>
      <x:c r="F21" s="204"/>
    </x:row>
    <x:row r="22">
      <x:c r="A22" s="204"/>
      <x:c r="B22" s="204"/>
      <x:c r="C22" s="204"/>
      <x:c r="D22" s="204"/>
      <x:c r="E22" s="204"/>
      <x:c r="F22" s="204"/>
    </x:row>
  </x:sheetData>
  <x:mergeCells>
    <x:mergeCell ref="A1:F2"/>
    <x:mergeCell ref="A4:F4"/>
    <x:mergeCell ref="A12:F12"/>
    <x:mergeCell ref="A13:F18"/>
    <x:mergeCell ref="A20:F22"/>
  </x:mergeCells>
  <x:pageMargins left="0.7" right="0.7" top="0.75" bottom="0.75" header="0.3" footer="0.3"/>
</x:worksheet>
</file>